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NDRES BELEÑO\Downloads\Proyecto_2_betting_sports_final_v3\betting-calibration\verificacion\"/>
    </mc:Choice>
  </mc:AlternateContent>
  <xr:revisionPtr revIDLastSave="0" documentId="13_ncr:1_{55A88D3F-5334-4B1E-8409-BBCD211672F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hequeo manual" sheetId="1" r:id="rId1"/>
    <sheet name="Protocol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1" l="1"/>
  <c r="P5" i="1"/>
  <c r="O5" i="1"/>
  <c r="M5" i="1"/>
  <c r="L5" i="1"/>
  <c r="K5" i="1"/>
  <c r="J5" i="1"/>
  <c r="I5" i="1"/>
  <c r="H10" i="1"/>
  <c r="Q10" i="1" s="1"/>
  <c r="G10" i="1"/>
  <c r="P10" i="1" s="1"/>
  <c r="F10" i="1"/>
  <c r="I10" i="1" s="1"/>
  <c r="J10" i="1" s="1"/>
  <c r="H9" i="1"/>
  <c r="Q9" i="1" s="1"/>
  <c r="G9" i="1"/>
  <c r="P9" i="1" s="1"/>
  <c r="F9" i="1"/>
  <c r="O9" i="1" s="1"/>
  <c r="H8" i="1"/>
  <c r="G8" i="1"/>
  <c r="I8" i="1" s="1"/>
  <c r="F8" i="1"/>
  <c r="O8" i="1" s="1"/>
  <c r="H7" i="1"/>
  <c r="Q7" i="1" s="1"/>
  <c r="G7" i="1"/>
  <c r="P7" i="1" s="1"/>
  <c r="F7" i="1"/>
  <c r="O7" i="1" s="1"/>
  <c r="I6" i="1"/>
  <c r="L6" i="1" s="1"/>
  <c r="H6" i="1"/>
  <c r="M6" i="1" s="1"/>
  <c r="G6" i="1"/>
  <c r="P6" i="1" s="1"/>
  <c r="F6" i="1"/>
  <c r="O6" i="1" s="1"/>
  <c r="H5" i="1"/>
  <c r="G5" i="1"/>
  <c r="F5" i="1"/>
  <c r="M8" i="1" l="1"/>
  <c r="R9" i="1"/>
  <c r="T9" i="1"/>
  <c r="K8" i="1"/>
  <c r="J8" i="1"/>
  <c r="T7" i="1"/>
  <c r="R7" i="1"/>
  <c r="T8" i="1"/>
  <c r="T6" i="1"/>
  <c r="K10" i="1"/>
  <c r="P8" i="1"/>
  <c r="R8" i="1" s="1"/>
  <c r="Q8" i="1"/>
  <c r="I7" i="1"/>
  <c r="L8" i="1"/>
  <c r="Q6" i="1"/>
  <c r="R6" i="1" s="1"/>
  <c r="K7" i="1"/>
  <c r="I9" i="1"/>
  <c r="L10" i="1"/>
  <c r="M10" i="1"/>
  <c r="O10" i="1"/>
  <c r="J6" i="1"/>
  <c r="K6" i="1"/>
  <c r="M9" i="1" l="1"/>
  <c r="L9" i="1"/>
  <c r="J9" i="1"/>
  <c r="K9" i="1"/>
  <c r="T5" i="1"/>
  <c r="R5" i="1"/>
  <c r="T10" i="1"/>
  <c r="R10" i="1"/>
  <c r="M7" i="1"/>
  <c r="J7" i="1"/>
  <c r="L7" i="1"/>
</calcChain>
</file>

<file path=xl/sharedStrings.xml><?xml version="1.0" encoding="utf-8"?>
<sst xmlns="http://schemas.openxmlformats.org/spreadsheetml/2006/main" count="99" uniqueCount="81">
  <si>
    <t>Verificación manual del margen y de la remoción del margen · Bet365, cuotas de cierre</t>
  </si>
  <si>
    <t>Las celdas grises son fórmulas. Para verificar k: Datos → Análisis de hipótesis → Buscar objetivo: definir la celda Σ potencia = 1 cambiando la celda k.</t>
  </si>
  <si>
    <t>Partido</t>
  </si>
  <si>
    <t>Fecha</t>
  </si>
  <si>
    <t>Cuota L</t>
  </si>
  <si>
    <t>Cuota E</t>
  </si>
  <si>
    <t>Cuota V</t>
  </si>
  <si>
    <t>1/oL</t>
  </si>
  <si>
    <t>1/oE</t>
  </si>
  <si>
    <t>1/oV</t>
  </si>
  <si>
    <t>S</t>
  </si>
  <si>
    <t>Margen (pp)</t>
  </si>
  <si>
    <t>Prop. L</t>
  </si>
  <si>
    <t>Prop. E</t>
  </si>
  <si>
    <t>Prop. V</t>
  </si>
  <si>
    <t>k (potencia)</t>
  </si>
  <si>
    <t>Pot. L</t>
  </si>
  <si>
    <t>Pot. E</t>
  </si>
  <si>
    <t>Pot. V</t>
  </si>
  <si>
    <t>Σ potencia</t>
  </si>
  <si>
    <t>Pot. L (código)</t>
  </si>
  <si>
    <t>Dif. L</t>
  </si>
  <si>
    <t>Man United vs Fulham</t>
  </si>
  <si>
    <t>2024-08-16</t>
  </si>
  <si>
    <t>Liverpool vs Leicester</t>
  </si>
  <si>
    <t>2024-12-26</t>
  </si>
  <si>
    <t>Southampton vs Man City</t>
  </si>
  <si>
    <t>2025-05-10</t>
  </si>
  <si>
    <t>Ath Bilbao vs Getafe</t>
  </si>
  <si>
    <t>2024-08-15</t>
  </si>
  <si>
    <t>Ath Madrid vs Valladolid</t>
  </si>
  <si>
    <t>2025-04-14</t>
  </si>
  <si>
    <t>Valladolid vs Real Madrid</t>
  </si>
  <si>
    <t>2025-01-25</t>
  </si>
  <si>
    <t>Protocolo de verificación humana (registrar en el Anexo A de la bitácora)</t>
  </si>
  <si>
    <t>ID</t>
  </si>
  <si>
    <t>Qué se verifica</t>
  </si>
  <si>
    <t>Cómo</t>
  </si>
  <si>
    <t>Criterio de aceptación</t>
  </si>
  <si>
    <t>Responsable</t>
  </si>
  <si>
    <t>Resultado</t>
  </si>
  <si>
    <t>Observaciones</t>
  </si>
  <si>
    <t>V1</t>
  </si>
  <si>
    <t>El código corre en un PC del equipo</t>
  </si>
  <si>
    <t>python run_all.py en un entorno limpio (requirements.txt)</t>
  </si>
  <si>
    <t>Termina sin errores y genera outputs/index.html</t>
  </si>
  <si>
    <t>V2</t>
  </si>
  <si>
    <t>Cifras del informe = tablas del código</t>
  </si>
  <si>
    <t>Comparar Tablas 2, 4 y 6 del informe con margin.csv, scores.csv/bias.csv y covid_contrasts.csv</t>
  </si>
  <si>
    <t>Coinciden al redondeo</t>
  </si>
  <si>
    <t>V3</t>
  </si>
  <si>
    <t>Recálculo independiente</t>
  </si>
  <si>
    <t>python verificacion/verificar_independiente.py</t>
  </si>
  <si>
    <t>Imprime «todas las cifras coinciden»</t>
  </si>
  <si>
    <t>V4</t>
  </si>
  <si>
    <t>Margen y probabilidades a mano</t>
  </si>
  <si>
    <t>Hoja «Chequeo manual»: revisar fórmulas y usar Buscar objetivo para k</t>
  </si>
  <si>
    <t>Σ potencia = 1 y Dif. L ≈ 0</t>
  </si>
  <si>
    <t>V5</t>
  </si>
  <si>
    <t>Fórmulas de los métodos</t>
  </si>
  <si>
    <t>Leer src/methods.py y comparar con las ecuaciones de la sección 4.1 del informe</t>
  </si>
  <si>
    <t>Las cuatro fórmulas coinciden</t>
  </si>
  <si>
    <t>V6</t>
  </si>
  <si>
    <t>Referencias</t>
  </si>
  <si>
    <t>Abrir cada artículo de la bibliografía y confirmar la cifra o afirmación citada</t>
  </si>
  <si>
    <t>Cada cita respaldada</t>
  </si>
  <si>
    <t>V7</t>
  </si>
  <si>
    <t>Fechas de los periodos de público</t>
  </si>
  <si>
    <t>Contrastar config.json (bloque covid) con las fechas oficiales de cada liga</t>
  </si>
  <si>
    <t>Fechas correctas</t>
  </si>
  <si>
    <t>V8</t>
  </si>
  <si>
    <t>Interpretación</t>
  </si>
  <si>
    <t>Leer secciones 5–7 y confirmar que ninguna afirmación excede lo que muestran las tablas</t>
  </si>
  <si>
    <t>Sin afirmaciones causales o de eficiencia no respaldadas</t>
  </si>
  <si>
    <t>Andrés Beleño</t>
  </si>
  <si>
    <t>Mauricio Serrano</t>
  </si>
  <si>
    <t>Carlos Cadena</t>
  </si>
  <si>
    <t xml:space="preserve">Andrés Beleño </t>
  </si>
  <si>
    <t>Coincide: cumple el criterio de aceptación</t>
  </si>
  <si>
    <t>Buscar objetivo requiere bajar el «Cambio máximo» a 0,0000001 (Archivo → Opciones → Fórmulas); con el valor por defecto se detiene en Σ = 1,0009.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</si>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</sst>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sz val="8"/>
      <color rgb="FF374151"/>
      <name val="Calibri"/>
      <family val="2"/>
      <scheme val="minor"/>
    </font>
    <font>
      <sz val="9"/>
      <color rgb="FF37415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wrapText="1"/>
    </xf>
    <xf numFmtId="0" fontId="0" fillId="0" borderId="1" xfId="0" applyBorder="1"/>
    <xf numFmtId="164" fontId="0" fillId="3" borderId="1" xfId="0" applyNumberFormat="1" applyFill="1" applyBorder="1"/>
    <xf numFmtId="0" fontId="2" fillId="2" borderId="0" xfId="0" applyFont="1" applyFill="1"/>
    <xf numFmtId="0" fontId="0" fillId="0" borderId="1" xfId="0" applyBorder="1" applyAlignment="1">
      <alignment vertical="top" wrapText="1"/>
    </xf>
    <xf numFmtId="14" fontId="0" fillId="0" borderId="3" xfId="0" applyNumberFormat="1" applyBorder="1" applyAlignment="1">
      <alignment vertical="top" wrapText="1"/>
    </xf>
    <xf numFmtId="0" fontId="4" fillId="0" borderId="2" xfId="0" applyFont="1" applyBorder="1" applyAlignment="1">
      <alignment vertical="center"/>
    </xf>
    <xf numFmtId="0" fontId="5" fillId="2" borderId="0" xfId="0" applyFont="1" applyFill="1"/>
    <xf numFmtId="0" fontId="0" fillId="0" borderId="4" xfId="0" applyBorder="1" applyAlignment="1">
      <alignment vertical="top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opLeftCell="E1" workbookViewId="0">
      <selection activeCell="O5" sqref="O5"/>
    </sheetView>
  </sheetViews>
  <sheetFormatPr baseColWidth="10" defaultColWidth="8.7265625" defaultRowHeight="14.5" x14ac:dyDescent="0.35"/>
  <cols>
    <col min="1" max="1" width="34" customWidth="1"/>
    <col min="2" max="2" width="11" customWidth="1"/>
    <col min="3" max="20" width="9" customWidth="1"/>
  </cols>
  <sheetData>
    <row r="1" spans="1:20" ht="15.5" x14ac:dyDescent="0.35">
      <c r="A1" s="1" t="s">
        <v>0</v>
      </c>
    </row>
    <row r="2" spans="1:20" x14ac:dyDescent="0.35">
      <c r="A2" t="s">
        <v>1</v>
      </c>
    </row>
    <row r="4" spans="1:20" ht="43.5" x14ac:dyDescent="0.3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</row>
    <row r="5" spans="1:20" x14ac:dyDescent="0.35">
      <c r="A5" s="3" t="s">
        <v>22</v>
      </c>
      <c r="B5" s="3" t="s">
        <v>23</v>
      </c>
      <c r="C5" s="3">
        <v>1.67</v>
      </c>
      <c r="D5" s="3">
        <v>4.0999999999999996</v>
      </c>
      <c r="E5" s="3">
        <v>5</v>
      </c>
      <c r="F5" s="4">
        <f t="shared" ref="F5:H10" si="0">1/C5</f>
        <v>0.5988023952095809</v>
      </c>
      <c r="G5" s="4">
        <f t="shared" si="0"/>
        <v>0.24390243902439027</v>
      </c>
      <c r="H5" s="4">
        <f t="shared" si="0"/>
        <v>0.2</v>
      </c>
      <c r="I5" s="4">
        <f>F5+G5+H5</f>
        <v>1.0427048342339711</v>
      </c>
      <c r="J5" s="4">
        <f>100*(I5-1)</f>
        <v>4.270483423397109</v>
      </c>
      <c r="K5" s="4">
        <f>F5/I5</f>
        <v>0.57427795052805564</v>
      </c>
      <c r="L5" s="4">
        <f>G5/I5</f>
        <v>0.23391321399557388</v>
      </c>
      <c r="M5" s="4">
        <f>H5/I5</f>
        <v>0.19180883547637056</v>
      </c>
      <c r="N5" s="3">
        <v>1.04507218</v>
      </c>
      <c r="O5" s="4">
        <f>F5^N5</f>
        <v>0.58512036239638243</v>
      </c>
      <c r="P5" s="4">
        <f>G5^N5</f>
        <v>0.2288740944396529</v>
      </c>
      <c r="Q5" s="4">
        <f>H5^N5</f>
        <v>0.18600554614638717</v>
      </c>
      <c r="R5" s="4">
        <f t="shared" ref="R5:R10" si="1">O5+P5+Q5</f>
        <v>1.0000000029824225</v>
      </c>
      <c r="S5" s="3">
        <v>0.58512036000000001</v>
      </c>
      <c r="T5" s="4">
        <f t="shared" ref="T5:T10" si="2">O5-S5</f>
        <v>2.3963824258288469E-9</v>
      </c>
    </row>
    <row r="6" spans="1:20" x14ac:dyDescent="0.35">
      <c r="A6" s="3" t="s">
        <v>24</v>
      </c>
      <c r="B6" s="3" t="s">
        <v>25</v>
      </c>
      <c r="C6" s="3">
        <v>1.07</v>
      </c>
      <c r="D6" s="3">
        <v>12</v>
      </c>
      <c r="E6" s="3">
        <v>23</v>
      </c>
      <c r="F6" s="4">
        <f t="shared" si="0"/>
        <v>0.93457943925233644</v>
      </c>
      <c r="G6" s="4">
        <f t="shared" si="0"/>
        <v>8.3333333333333329E-2</v>
      </c>
      <c r="H6" s="4">
        <f t="shared" si="0"/>
        <v>4.3478260869565216E-2</v>
      </c>
      <c r="I6" s="4">
        <f t="shared" ref="I5:I10" si="3">F6+G6+H6</f>
        <v>1.061391033455235</v>
      </c>
      <c r="J6" s="4">
        <f t="shared" ref="J5:J10" si="4">100*(I6-1)</f>
        <v>6.1391033455235</v>
      </c>
      <c r="K6" s="4">
        <f t="shared" ref="K5:K10" si="5">F6/I6</f>
        <v>0.88052320944329243</v>
      </c>
      <c r="L6" s="4">
        <f t="shared" ref="L5:L10" si="6">G6/I6</f>
        <v>7.8513319508693571E-2</v>
      </c>
      <c r="M6" s="4">
        <f t="shared" ref="M5:M10" si="7">H6/I6</f>
        <v>4.0963471048014038E-2</v>
      </c>
      <c r="N6" s="3">
        <v>1.1846976899999999</v>
      </c>
      <c r="O6" s="4">
        <f t="shared" ref="O5:O10" si="8">F6^N6</f>
        <v>0.922973233317819</v>
      </c>
      <c r="P6" s="4">
        <f t="shared" ref="P5:P10" si="9">G6^N6</f>
        <v>5.2661893532005601E-2</v>
      </c>
      <c r="Q6" s="4">
        <f t="shared" ref="Q5:Q10" si="10">H6^N6</f>
        <v>2.436487447347686E-2</v>
      </c>
      <c r="R6" s="4">
        <f t="shared" si="1"/>
        <v>1.0000000013233015</v>
      </c>
      <c r="S6" s="3">
        <v>0.92297322999999998</v>
      </c>
      <c r="T6" s="4">
        <f t="shared" si="2"/>
        <v>3.3178190195215507E-9</v>
      </c>
    </row>
    <row r="7" spans="1:20" x14ac:dyDescent="0.35">
      <c r="A7" s="3" t="s">
        <v>26</v>
      </c>
      <c r="B7" s="3" t="s">
        <v>27</v>
      </c>
      <c r="C7" s="3">
        <v>13</v>
      </c>
      <c r="D7" s="3">
        <v>7</v>
      </c>
      <c r="E7" s="3">
        <v>1.2</v>
      </c>
      <c r="F7" s="4">
        <f t="shared" si="0"/>
        <v>7.6923076923076927E-2</v>
      </c>
      <c r="G7" s="4">
        <f t="shared" si="0"/>
        <v>0.14285714285714285</v>
      </c>
      <c r="H7" s="4">
        <f t="shared" si="0"/>
        <v>0.83333333333333337</v>
      </c>
      <c r="I7" s="4">
        <f t="shared" si="3"/>
        <v>1.0531135531135531</v>
      </c>
      <c r="J7" s="4">
        <f t="shared" si="4"/>
        <v>5.3113553113553147</v>
      </c>
      <c r="K7" s="4">
        <f t="shared" si="5"/>
        <v>7.3043478260869571E-2</v>
      </c>
      <c r="L7" s="4">
        <f t="shared" si="6"/>
        <v>0.13565217391304346</v>
      </c>
      <c r="M7" s="4">
        <f t="shared" si="7"/>
        <v>0.79130434782608694</v>
      </c>
      <c r="N7" s="3">
        <v>1.0913803099999999</v>
      </c>
      <c r="O7" s="4">
        <f t="shared" si="8"/>
        <v>6.0850501081606563E-2</v>
      </c>
      <c r="P7" s="4">
        <f t="shared" si="9"/>
        <v>0.11958498106768395</v>
      </c>
      <c r="Q7" s="4">
        <f t="shared" si="10"/>
        <v>0.81956451654996543</v>
      </c>
      <c r="R7" s="4">
        <f t="shared" si="1"/>
        <v>0.99999999869925593</v>
      </c>
      <c r="S7" s="3">
        <v>6.0850500000000002E-2</v>
      </c>
      <c r="T7" s="4">
        <f t="shared" si="2"/>
        <v>1.0816065612595516E-9</v>
      </c>
    </row>
    <row r="8" spans="1:20" x14ac:dyDescent="0.35">
      <c r="A8" s="3" t="s">
        <v>28</v>
      </c>
      <c r="B8" s="3" t="s">
        <v>29</v>
      </c>
      <c r="C8" s="3">
        <v>1.57</v>
      </c>
      <c r="D8" s="3">
        <v>3.6</v>
      </c>
      <c r="E8" s="3">
        <v>7</v>
      </c>
      <c r="F8" s="4">
        <f t="shared" si="0"/>
        <v>0.63694267515923564</v>
      </c>
      <c r="G8" s="4">
        <f t="shared" si="0"/>
        <v>0.27777777777777779</v>
      </c>
      <c r="H8" s="4">
        <f t="shared" si="0"/>
        <v>0.14285714285714285</v>
      </c>
      <c r="I8" s="4">
        <f t="shared" si="3"/>
        <v>1.0575775957941562</v>
      </c>
      <c r="J8" s="4">
        <f t="shared" si="4"/>
        <v>5.7577595794156222</v>
      </c>
      <c r="K8" s="4">
        <f t="shared" si="5"/>
        <v>0.60226566607714738</v>
      </c>
      <c r="L8" s="4">
        <f t="shared" si="6"/>
        <v>0.2626547488169782</v>
      </c>
      <c r="M8" s="4">
        <f t="shared" si="7"/>
        <v>0.13507958510587448</v>
      </c>
      <c r="N8" s="3">
        <v>1.0650107600000001</v>
      </c>
      <c r="O8" s="4">
        <f t="shared" si="8"/>
        <v>0.61853568783465518</v>
      </c>
      <c r="P8" s="4">
        <f t="shared" si="9"/>
        <v>0.25558293370114588</v>
      </c>
      <c r="Q8" s="4">
        <f t="shared" si="10"/>
        <v>0.12588137965850577</v>
      </c>
      <c r="R8" s="4">
        <f t="shared" si="1"/>
        <v>1.0000000011943069</v>
      </c>
      <c r="S8" s="3">
        <v>0.61853568999999997</v>
      </c>
      <c r="T8" s="4">
        <f t="shared" si="2"/>
        <v>-2.1653447923597469E-9</v>
      </c>
    </row>
    <row r="9" spans="1:20" x14ac:dyDescent="0.35">
      <c r="A9" s="3" t="s">
        <v>30</v>
      </c>
      <c r="B9" s="3" t="s">
        <v>31</v>
      </c>
      <c r="C9" s="3">
        <v>1.0900000000000001</v>
      </c>
      <c r="D9" s="3">
        <v>9</v>
      </c>
      <c r="E9" s="3">
        <v>26</v>
      </c>
      <c r="F9" s="4">
        <f t="shared" si="0"/>
        <v>0.9174311926605504</v>
      </c>
      <c r="G9" s="4">
        <f t="shared" si="0"/>
        <v>0.1111111111111111</v>
      </c>
      <c r="H9" s="4">
        <f t="shared" si="0"/>
        <v>3.8461538461538464E-2</v>
      </c>
      <c r="I9" s="4">
        <f t="shared" si="3"/>
        <v>1.0670038422332</v>
      </c>
      <c r="J9" s="4">
        <f t="shared" si="4"/>
        <v>6.7003842233199995</v>
      </c>
      <c r="K9" s="4">
        <f t="shared" si="5"/>
        <v>0.85981995223222485</v>
      </c>
      <c r="L9" s="4">
        <f t="shared" si="6"/>
        <v>0.10413374977034723</v>
      </c>
      <c r="M9" s="4">
        <f t="shared" si="7"/>
        <v>3.6046297997427895E-2</v>
      </c>
      <c r="N9" s="3">
        <v>1.1784688000000001</v>
      </c>
      <c r="O9" s="4">
        <f t="shared" si="8"/>
        <v>0.90342902624365606</v>
      </c>
      <c r="P9" s="4">
        <f t="shared" si="9"/>
        <v>7.5068022412995206E-2</v>
      </c>
      <c r="Q9" s="4">
        <f t="shared" si="10"/>
        <v>2.1502950570090495E-2</v>
      </c>
      <c r="R9" s="4">
        <f t="shared" si="1"/>
        <v>0.99999999922674188</v>
      </c>
      <c r="S9" s="3">
        <v>0.90342902999999997</v>
      </c>
      <c r="T9" s="4">
        <f t="shared" si="2"/>
        <v>-3.7563439025944945E-9</v>
      </c>
    </row>
    <row r="10" spans="1:20" x14ac:dyDescent="0.35">
      <c r="A10" s="3" t="s">
        <v>32</v>
      </c>
      <c r="B10" s="3" t="s">
        <v>33</v>
      </c>
      <c r="C10" s="3">
        <v>12</v>
      </c>
      <c r="D10" s="3">
        <v>6.5</v>
      </c>
      <c r="E10" s="3">
        <v>1.22</v>
      </c>
      <c r="F10" s="4">
        <f t="shared" si="0"/>
        <v>8.3333333333333329E-2</v>
      </c>
      <c r="G10" s="4">
        <f t="shared" si="0"/>
        <v>0.15384615384615385</v>
      </c>
      <c r="H10" s="4">
        <f t="shared" si="0"/>
        <v>0.81967213114754101</v>
      </c>
      <c r="I10" s="4">
        <f t="shared" si="3"/>
        <v>1.0568516183270282</v>
      </c>
      <c r="J10" s="4">
        <f t="shared" si="4"/>
        <v>5.685161832702823</v>
      </c>
      <c r="K10" s="4">
        <f t="shared" si="5"/>
        <v>7.885055185442974E-2</v>
      </c>
      <c r="L10" s="4">
        <f t="shared" si="6"/>
        <v>0.14557024957740877</v>
      </c>
      <c r="M10" s="4">
        <f t="shared" si="7"/>
        <v>0.77557919856816149</v>
      </c>
      <c r="N10" s="3">
        <v>1.0931026500000001</v>
      </c>
      <c r="O10" s="4">
        <f t="shared" si="8"/>
        <v>6.6121716639207198E-2</v>
      </c>
      <c r="P10" s="4">
        <f t="shared" si="9"/>
        <v>0.12924157908709308</v>
      </c>
      <c r="Q10" s="4">
        <f t="shared" si="10"/>
        <v>0.80463670573765633</v>
      </c>
      <c r="R10" s="4">
        <f t="shared" si="1"/>
        <v>1.0000000014639565</v>
      </c>
      <c r="S10" s="3">
        <v>6.6121719999999995E-2</v>
      </c>
      <c r="T10" s="4">
        <f t="shared" si="2"/>
        <v>-3.3607927968359874E-9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tabSelected="1" zoomScale="73" workbookViewId="0">
      <selection activeCell="H17" sqref="H17"/>
    </sheetView>
  </sheetViews>
  <sheetFormatPr baseColWidth="10" defaultColWidth="8.7265625" defaultRowHeight="14.5" x14ac:dyDescent="0.35"/>
  <cols>
    <col min="1" max="1" width="5" customWidth="1"/>
    <col min="2" max="2" width="32" customWidth="1"/>
    <col min="3" max="3" width="55" customWidth="1"/>
    <col min="4" max="4" width="38" customWidth="1"/>
    <col min="5" max="5" width="16" customWidth="1"/>
    <col min="6" max="6" width="12" customWidth="1"/>
    <col min="7" max="7" width="29.7265625" bestFit="1" customWidth="1"/>
    <col min="8" max="8" width="94.36328125" bestFit="1" customWidth="1"/>
  </cols>
  <sheetData>
    <row r="1" spans="1:8" ht="15.5" x14ac:dyDescent="0.35">
      <c r="A1" s="1" t="s">
        <v>34</v>
      </c>
    </row>
    <row r="3" spans="1:8" x14ac:dyDescent="0.35">
      <c r="A3" s="5" t="s">
        <v>35</v>
      </c>
      <c r="B3" s="5" t="s">
        <v>36</v>
      </c>
      <c r="C3" s="5" t="s">
        <v>37</v>
      </c>
      <c r="D3" s="5" t="s">
        <v>38</v>
      </c>
      <c r="E3" s="5" t="s">
        <v>39</v>
      </c>
      <c r="F3" s="5" t="s">
        <v>3</v>
      </c>
      <c r="G3" s="5" t="s">
        <v>40</v>
      </c>
      <c r="H3" s="9" t="s">
        <v>41</v>
      </c>
    </row>
    <row r="4" spans="1:8" ht="29" x14ac:dyDescent="0.35">
      <c r="A4" s="6" t="s">
        <v>42</v>
      </c>
      <c r="B4" s="6" t="s">
        <v>43</v>
      </c>
      <c r="C4" s="6" t="s">
        <v>44</v>
      </c>
      <c r="D4" s="6" t="s">
        <v>45</v>
      </c>
      <c r="E4" s="6" t="s">
        <v>75</v>
      </c>
      <c r="F4" s="7">
        <v>46296</v>
      </c>
      <c r="G4" s="8" t="s">
        <v>78</v>
      </c>
      <c r="H4" s="10" t="s">
        <v>80</v>
      </c>
    </row>
    <row r="5" spans="1:8" ht="29" x14ac:dyDescent="0.35">
      <c r="A5" s="6" t="s">
        <v>46</v>
      </c>
      <c r="B5" s="6" t="s">
        <v>47</v>
      </c>
      <c r="C5" s="6" t="s">
        <v>48</v>
      </c>
      <c r="D5" s="6" t="s">
        <v>49</v>
      </c>
      <c r="E5" s="6" t="s">
        <v>74</v>
      </c>
      <c r="F5" s="7">
        <v>46296</v>
      </c>
      <c r="G5" s="8" t="s">
        <v>78</v>
      </c>
      <c r="H5" s="10" t="s">
        <v>80</v>
      </c>
    </row>
    <row r="6" spans="1:8" x14ac:dyDescent="0.35">
      <c r="A6" s="6" t="s">
        <v>50</v>
      </c>
      <c r="B6" s="6" t="s">
        <v>51</v>
      </c>
      <c r="C6" s="6" t="s">
        <v>52</v>
      </c>
      <c r="D6" s="6" t="s">
        <v>53</v>
      </c>
      <c r="E6" s="6" t="s">
        <v>74</v>
      </c>
      <c r="F6" s="7">
        <v>46296</v>
      </c>
      <c r="G6" s="8" t="s">
        <v>78</v>
      </c>
      <c r="H6" s="10" t="s">
        <v>80</v>
      </c>
    </row>
    <row r="7" spans="1:8" ht="29" x14ac:dyDescent="0.35">
      <c r="A7" s="6" t="s">
        <v>54</v>
      </c>
      <c r="B7" s="6" t="s">
        <v>55</v>
      </c>
      <c r="C7" s="6" t="s">
        <v>56</v>
      </c>
      <c r="D7" s="6" t="s">
        <v>57</v>
      </c>
      <c r="E7" s="6" t="s">
        <v>74</v>
      </c>
      <c r="F7" s="7">
        <v>46296</v>
      </c>
      <c r="G7" s="8" t="s">
        <v>78</v>
      </c>
      <c r="H7" s="11" t="s">
        <v>79</v>
      </c>
    </row>
    <row r="8" spans="1:8" ht="29" x14ac:dyDescent="0.35">
      <c r="A8" s="6" t="s">
        <v>58</v>
      </c>
      <c r="B8" s="6" t="s">
        <v>59</v>
      </c>
      <c r="C8" s="6" t="s">
        <v>60</v>
      </c>
      <c r="D8" s="6" t="s">
        <v>61</v>
      </c>
      <c r="E8" s="6" t="s">
        <v>75</v>
      </c>
      <c r="F8" s="7">
        <v>46297</v>
      </c>
      <c r="G8" s="8" t="s">
        <v>78</v>
      </c>
      <c r="H8" s="10" t="s">
        <v>80</v>
      </c>
    </row>
    <row r="9" spans="1:8" ht="29" x14ac:dyDescent="0.35">
      <c r="A9" s="6" t="s">
        <v>62</v>
      </c>
      <c r="B9" s="6" t="s">
        <v>63</v>
      </c>
      <c r="C9" s="6" t="s">
        <v>64</v>
      </c>
      <c r="D9" s="6" t="s">
        <v>65</v>
      </c>
      <c r="E9" s="6" t="s">
        <v>74</v>
      </c>
      <c r="F9" s="7">
        <v>46297</v>
      </c>
      <c r="G9" s="8" t="s">
        <v>78</v>
      </c>
      <c r="H9" s="10" t="s">
        <v>80</v>
      </c>
    </row>
    <row r="10" spans="1:8" ht="29" x14ac:dyDescent="0.35">
      <c r="A10" s="6" t="s">
        <v>66</v>
      </c>
      <c r="B10" s="6" t="s">
        <v>67</v>
      </c>
      <c r="C10" s="6" t="s">
        <v>68</v>
      </c>
      <c r="D10" s="6" t="s">
        <v>69</v>
      </c>
      <c r="E10" s="6" t="s">
        <v>76</v>
      </c>
      <c r="F10" s="7">
        <v>46297</v>
      </c>
      <c r="G10" s="8" t="s">
        <v>78</v>
      </c>
      <c r="H10" s="10" t="s">
        <v>80</v>
      </c>
    </row>
    <row r="11" spans="1:8" ht="29" x14ac:dyDescent="0.35">
      <c r="A11" s="6" t="s">
        <v>70</v>
      </c>
      <c r="B11" s="6" t="s">
        <v>71</v>
      </c>
      <c r="C11" s="6" t="s">
        <v>72</v>
      </c>
      <c r="D11" s="6" t="s">
        <v>73</v>
      </c>
      <c r="E11" s="6" t="s">
        <v>77</v>
      </c>
      <c r="F11" s="7">
        <v>46297</v>
      </c>
      <c r="G11" s="8" t="s">
        <v>78</v>
      </c>
      <c r="H11" s="10" t="s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Chequeo manual</vt:lpstr>
      <vt:lpstr>Protocolo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felipe Beleño Mejia</cp:lastModifiedBy>
  <dcterms:created xsi:type="dcterms:W3CDTF">2026-10-03T03:16:49Z</dcterms:created>
  <dcterms:modified xsi:type="dcterms:W3CDTF">2026-10-03T20:54:53Z</dcterms:modified>
</cp:coreProperties>
</file>